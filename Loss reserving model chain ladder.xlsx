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  <pivotCaches>
    <pivotCache cacheId="3" r:id="rId4"/>
  </pivotCaches>
</workbook>
</file>

<file path=xl/calcChain.xml><?xml version="1.0" encoding="utf-8"?>
<calcChain xmlns="http://schemas.openxmlformats.org/spreadsheetml/2006/main">
  <c r="U6" i="1" l="1"/>
  <c r="V15" i="1"/>
  <c r="V6" i="1"/>
  <c r="V7" i="1"/>
  <c r="V8" i="1"/>
  <c r="V9" i="1"/>
  <c r="V10" i="1"/>
  <c r="V11" i="1"/>
  <c r="V12" i="1"/>
  <c r="V13" i="1"/>
  <c r="V14" i="1"/>
  <c r="V5" i="1"/>
  <c r="U5" i="1"/>
  <c r="U7" i="1"/>
  <c r="U8" i="1"/>
  <c r="U9" i="1"/>
  <c r="U10" i="1"/>
  <c r="U11" i="1"/>
  <c r="U12" i="1"/>
  <c r="U13" i="1"/>
  <c r="U14" i="1"/>
  <c r="S14" i="1"/>
  <c r="S13" i="1"/>
  <c r="S12" i="1"/>
  <c r="S11" i="1"/>
  <c r="S10" i="1"/>
  <c r="S9" i="1"/>
  <c r="S8" i="1"/>
  <c r="S7" i="1"/>
  <c r="S6" i="1"/>
  <c r="S5" i="1"/>
  <c r="F39" i="1"/>
  <c r="G39" i="1"/>
  <c r="H39" i="1"/>
  <c r="I39" i="1"/>
  <c r="J39" i="1"/>
  <c r="K39" i="1"/>
  <c r="L39" i="1"/>
  <c r="M39" i="1"/>
  <c r="E36" i="1"/>
  <c r="E39" i="1" s="1"/>
  <c r="F36" i="1"/>
  <c r="G36" i="1"/>
  <c r="H36" i="1"/>
  <c r="I36" i="1"/>
  <c r="J36" i="1"/>
  <c r="K36" i="1"/>
  <c r="M35" i="1"/>
  <c r="L35" i="1"/>
  <c r="K35" i="1"/>
  <c r="J35" i="1"/>
  <c r="I35" i="1"/>
  <c r="H35" i="1"/>
  <c r="G35" i="1"/>
  <c r="F35" i="1"/>
  <c r="E35" i="1"/>
  <c r="M34" i="1"/>
  <c r="L34" i="1"/>
  <c r="K34" i="1"/>
  <c r="J34" i="1"/>
  <c r="I34" i="1"/>
  <c r="H34" i="1"/>
  <c r="G34" i="1"/>
  <c r="F34" i="1"/>
  <c r="E29" i="1"/>
  <c r="E34" i="1" s="1"/>
  <c r="M29" i="1"/>
  <c r="L29" i="1"/>
  <c r="K29" i="1"/>
  <c r="J29" i="1"/>
  <c r="I29" i="1"/>
  <c r="H29" i="1"/>
  <c r="G29" i="1"/>
  <c r="M28" i="1"/>
  <c r="L28" i="1"/>
  <c r="K28" i="1"/>
  <c r="J28" i="1"/>
  <c r="I28" i="1"/>
  <c r="H28" i="1"/>
  <c r="F28" i="1"/>
  <c r="E28" i="1"/>
  <c r="M27" i="1"/>
  <c r="L27" i="1"/>
  <c r="K27" i="1"/>
  <c r="J27" i="1"/>
  <c r="I27" i="1"/>
  <c r="G27" i="1"/>
  <c r="F27" i="1"/>
  <c r="E27" i="1"/>
  <c r="M26" i="1"/>
  <c r="L26" i="1"/>
  <c r="K26" i="1"/>
  <c r="J26" i="1"/>
  <c r="H26" i="1"/>
  <c r="G26" i="1"/>
  <c r="F26" i="1"/>
  <c r="E26" i="1"/>
  <c r="M25" i="1"/>
  <c r="L25" i="1"/>
  <c r="K25" i="1"/>
  <c r="I25" i="1"/>
  <c r="H25" i="1"/>
  <c r="G25" i="1"/>
  <c r="F25" i="1"/>
  <c r="E25" i="1"/>
  <c r="M24" i="1"/>
  <c r="L24" i="1"/>
  <c r="J24" i="1"/>
  <c r="I24" i="1"/>
  <c r="H24" i="1"/>
  <c r="G24" i="1"/>
  <c r="F24" i="1"/>
  <c r="E24" i="1"/>
  <c r="M23" i="1"/>
  <c r="K23" i="1"/>
  <c r="J23" i="1"/>
  <c r="I23" i="1"/>
  <c r="H23" i="1"/>
  <c r="G23" i="1"/>
  <c r="F23" i="1"/>
  <c r="E23" i="1"/>
  <c r="L22" i="1"/>
  <c r="K22" i="1"/>
  <c r="J22" i="1"/>
  <c r="I22" i="1"/>
  <c r="H22" i="1"/>
  <c r="G22" i="1"/>
  <c r="F22" i="1"/>
  <c r="E22" i="1"/>
  <c r="M21" i="1"/>
  <c r="L21" i="1"/>
  <c r="K21" i="1"/>
  <c r="J21" i="1"/>
  <c r="I21" i="1"/>
  <c r="H21" i="1"/>
  <c r="G21" i="1"/>
  <c r="F21" i="1"/>
  <c r="E21" i="1"/>
</calcChain>
</file>

<file path=xl/sharedStrings.xml><?xml version="1.0" encoding="utf-8"?>
<sst xmlns="http://schemas.openxmlformats.org/spreadsheetml/2006/main" count="40" uniqueCount="26">
  <si>
    <t xml:space="preserve"> 1981 5012  8269 10907 11805 13539 16181 18009 18608 18662 18834</t>
  </si>
  <si>
    <t>link ratio</t>
  </si>
  <si>
    <t>1-2yr</t>
  </si>
  <si>
    <t>2-3yr</t>
  </si>
  <si>
    <t>3-4yr</t>
  </si>
  <si>
    <t>4-5yr</t>
  </si>
  <si>
    <t>5-6yr</t>
  </si>
  <si>
    <t>6-7yr</t>
  </si>
  <si>
    <t>7-8yr</t>
  </si>
  <si>
    <t>8-9yr</t>
  </si>
  <si>
    <t>9-10yr</t>
  </si>
  <si>
    <t>Accident year</t>
  </si>
  <si>
    <t>development year</t>
  </si>
  <si>
    <t>3-yr simple average</t>
  </si>
  <si>
    <t>3 yr Volume-weighted average</t>
  </si>
  <si>
    <t>CDF</t>
  </si>
  <si>
    <t>latest loss</t>
  </si>
  <si>
    <t>ulimated loss</t>
  </si>
  <si>
    <t>index</t>
  </si>
  <si>
    <t>inflation adj. ultimate loss</t>
  </si>
  <si>
    <t>reserve</t>
  </si>
  <si>
    <t>total reserve</t>
  </si>
  <si>
    <t>selected LDF</t>
  </si>
  <si>
    <t>Row Labels</t>
  </si>
  <si>
    <t>Grand Total</t>
  </si>
  <si>
    <t>Sum of inflation adj. ultimate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</si>
</sst>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sz val="7"/>
      <color rgb="FFFFFFFF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16" fontId="0" fillId="3" borderId="1" xfId="0" applyNumberFormat="1" applyFill="1" applyBorder="1"/>
    <xf numFmtId="171" fontId="0" fillId="3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[Loss reserving model.xlsx]Sheet2!PivotTable1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Sheet2!$J$13:$J$23</c:f>
              <c:strCache>
                <c:ptCount val="10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</c:strCache>
            </c:strRef>
          </c:cat>
          <c:val>
            <c:numRef>
              <c:f>Sheet2!$K$13:$K$23</c:f>
              <c:numCache>
                <c:formatCode>General</c:formatCode>
                <c:ptCount val="10"/>
                <c:pt idx="0">
                  <c:v>18834</c:v>
                </c:pt>
                <c:pt idx="1">
                  <c:v>18375.169769585253</c:v>
                </c:pt>
                <c:pt idx="2">
                  <c:v>27936.710271625307</c:v>
                </c:pt>
                <c:pt idx="3">
                  <c:v>35878.927704276131</c:v>
                </c:pt>
                <c:pt idx="4">
                  <c:v>37808.31304232707</c:v>
                </c:pt>
                <c:pt idx="5">
                  <c:v>26348.599116237368</c:v>
                </c:pt>
                <c:pt idx="6">
                  <c:v>25377.480232449394</c:v>
                </c:pt>
                <c:pt idx="7">
                  <c:v>35736.822311934506</c:v>
                </c:pt>
                <c:pt idx="8">
                  <c:v>32261.894283597816</c:v>
                </c:pt>
                <c:pt idx="9">
                  <c:v>42370.176650915957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36640"/>
        <c:axId val="209453824"/>
      </c:barChart>
      <c:catAx>
        <c:axId val="209136640"/>
        <c:scaling>
          <c:orientation val="minMax"/>
        </c:scaling>
        <c:delete val="0"/>
        <c:axPos val="b"/>
        <c:majorTickMark val="out"/>
        <c:minorTickMark val="none"/>
        <c:tickLblPos val="nextTo"/>
        <c:crossAx val="209453824"/>
        <c:crosses val="autoZero"/>
        <c:auto val="1"/>
        <c:lblAlgn val="ctr"/>
        <c:lblOffset val="100"/>
        <c:noMultiLvlLbl val="0"/>
      </c:catAx>
      <c:valAx>
        <c:axId val="209453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136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[Loss reserving model.xlsx]Sheet2!PivotTable1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Sheet2!$J$13:$J$23</c:f>
              <c:strCache>
                <c:ptCount val="10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</c:strCache>
            </c:strRef>
          </c:cat>
          <c:val>
            <c:numRef>
              <c:f>Sheet2!$K$13:$K$23</c:f>
              <c:numCache>
                <c:formatCode>General</c:formatCode>
                <c:ptCount val="10"/>
                <c:pt idx="0">
                  <c:v>18834</c:v>
                </c:pt>
                <c:pt idx="1">
                  <c:v>18375.169769585253</c:v>
                </c:pt>
                <c:pt idx="2">
                  <c:v>27936.710271625307</c:v>
                </c:pt>
                <c:pt idx="3">
                  <c:v>35878.927704276131</c:v>
                </c:pt>
                <c:pt idx="4">
                  <c:v>37808.31304232707</c:v>
                </c:pt>
                <c:pt idx="5">
                  <c:v>26348.599116237368</c:v>
                </c:pt>
                <c:pt idx="6">
                  <c:v>25377.480232449394</c:v>
                </c:pt>
                <c:pt idx="7">
                  <c:v>35736.822311934506</c:v>
                </c:pt>
                <c:pt idx="8">
                  <c:v>32261.894283597816</c:v>
                </c:pt>
                <c:pt idx="9">
                  <c:v>42370.176650915957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483648"/>
        <c:axId val="292124928"/>
      </c:barChart>
      <c:catAx>
        <c:axId val="169483648"/>
        <c:scaling>
          <c:orientation val="minMax"/>
        </c:scaling>
        <c:delete val="0"/>
        <c:axPos val="b"/>
        <c:majorTickMark val="out"/>
        <c:minorTickMark val="none"/>
        <c:tickLblPos val="nextTo"/>
        <c:crossAx val="292124928"/>
        <c:crosses val="autoZero"/>
        <c:auto val="1"/>
        <c:lblAlgn val="ctr"/>
        <c:lblOffset val="100"/>
        <c:noMultiLvlLbl val="0"/>
      </c:catAx>
      <c:valAx>
        <c:axId val="292124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483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299358</xdr:colOff>
      <xdr:row>17</xdr:row>
      <xdr:rowOff>45358</xdr:rowOff>
    </xdr:from>
    <xdr:to>
      <xdr:col>24</xdr:col>
      <xdr:colOff>420008</xdr:colOff>
      <xdr:row>32</xdr:row>
      <xdr:rowOff>67130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168275</xdr:colOff>
      <xdr:row>4</xdr:row>
      <xdr:rowOff>66675</xdr:rowOff>
    </xdr:from>
    <xdr:to>
      <xdr:col>12</xdr:col>
      <xdr:colOff>79375</xdr:colOff>
      <xdr:row>19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" refreshedDate="46174.857132060184" createdVersion="4" refreshedVersion="4" minRefreshableVersion="3" recordCount="10">
  <cacheSource type="worksheet">
    <worksheetSource ref="C4:D14" sheet="Sheet2"/>
  </cacheSource>
  <cacheFields count="2">
    <cacheField name="Accident year" numFmtId="0">
      <sharedItems containsSemiMixedTypes="0" containsString="0" containsNumber="1" containsInteger="1" minValue="1981" maxValue="1990" count="10">
        <n v="1981"/>
        <n v="1982"/>
        <n v="1983"/>
        <n v="1984"/>
        <n v="1985"/>
        <n v="1986"/>
        <n v="1987"/>
        <n v="1988"/>
        <n v="1989"/>
        <n v="1990"/>
      </sharedItems>
    </cacheField>
    <cacheField name="inflation adj. ultimate loss" numFmtId="0">
      <sharedItems containsSemiMixedTypes="0" containsString="0" containsNumber="1" minValue="18375.169769585253" maxValue="42370.176650915957" count="10">
        <n v="18834"/>
        <n v="18375.169769585253"/>
        <n v="27936.710271625307"/>
        <n v="35878.927704276131"/>
        <n v="37808.31304232707"/>
        <n v="26348.599116237368"/>
        <n v="25377.480232449394"/>
        <n v="35736.822311934506"/>
        <n v="32261.894283597816"/>
        <n v="42370.17665091595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J12:K23" firstHeaderRow="1" firstDataRow="1" firstDataCol="1"/>
  <pivotFields count="2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>
      <items count="11">
        <item x="1"/>
        <item x="0"/>
        <item x="6"/>
        <item x="5"/>
        <item x="2"/>
        <item x="8"/>
        <item x="7"/>
        <item x="3"/>
        <item x="4"/>
        <item x="9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inflation adj. ultimate loss" fld="1" baseField="0" baseItem="0"/>
  </dataFields>
  <chartFormats count="3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V39"/>
  <sheetViews>
    <sheetView showGridLines="0" tabSelected="1" zoomScale="70" zoomScaleNormal="70" workbookViewId="0">
      <selection activeCell="O18" sqref="O18"/>
    </sheetView>
  </sheetViews>
  <sheetFormatPr defaultRowHeight="14.5" x14ac:dyDescent="0.35"/>
  <cols>
    <col min="4" max="4" width="26.36328125" bestFit="1" customWidth="1"/>
    <col min="17" max="17" width="12.08984375" bestFit="1" customWidth="1"/>
    <col min="18" max="18" width="9.08984375" bestFit="1" customWidth="1"/>
    <col min="19" max="19" width="11.81640625" bestFit="1" customWidth="1"/>
    <col min="20" max="20" width="5.36328125" customWidth="1"/>
    <col min="21" max="21" width="15.08984375" customWidth="1"/>
  </cols>
  <sheetData>
    <row r="3" spans="3:22" x14ac:dyDescent="0.35">
      <c r="D3" s="4"/>
      <c r="E3" s="5" t="s">
        <v>12</v>
      </c>
      <c r="F3" s="5"/>
      <c r="G3" s="5"/>
      <c r="H3" s="5"/>
      <c r="I3" s="5"/>
      <c r="J3" s="5"/>
      <c r="K3" s="5"/>
      <c r="L3" s="5"/>
      <c r="M3" s="5"/>
      <c r="N3" s="5"/>
    </row>
    <row r="4" spans="3:22" x14ac:dyDescent="0.35">
      <c r="D4" s="6" t="s">
        <v>11</v>
      </c>
      <c r="E4" s="6">
        <v>1</v>
      </c>
      <c r="F4" s="6">
        <v>2</v>
      </c>
      <c r="G4" s="6">
        <v>3</v>
      </c>
      <c r="H4" s="6">
        <v>4</v>
      </c>
      <c r="I4" s="6">
        <v>5</v>
      </c>
      <c r="J4" s="6">
        <v>6</v>
      </c>
      <c r="K4" s="6">
        <v>7</v>
      </c>
      <c r="L4" s="6">
        <v>8</v>
      </c>
      <c r="M4" s="6">
        <v>9</v>
      </c>
      <c r="N4" s="6">
        <v>10</v>
      </c>
      <c r="Q4" s="6" t="s">
        <v>11</v>
      </c>
      <c r="R4" s="6" t="s">
        <v>16</v>
      </c>
      <c r="S4" s="6" t="s">
        <v>17</v>
      </c>
      <c r="T4" s="6" t="s">
        <v>18</v>
      </c>
      <c r="U4" s="6" t="s">
        <v>19</v>
      </c>
      <c r="V4" s="6" t="s">
        <v>20</v>
      </c>
    </row>
    <row r="5" spans="3:22" x14ac:dyDescent="0.35">
      <c r="C5" s="1" t="s">
        <v>0</v>
      </c>
      <c r="D5" s="6">
        <v>1981</v>
      </c>
      <c r="E5" s="6">
        <v>5012</v>
      </c>
      <c r="F5" s="6">
        <v>8269</v>
      </c>
      <c r="G5" s="6">
        <v>10907</v>
      </c>
      <c r="H5" s="6">
        <v>11805</v>
      </c>
      <c r="I5" s="6">
        <v>13539</v>
      </c>
      <c r="J5" s="6">
        <v>16181</v>
      </c>
      <c r="K5" s="6">
        <v>18009</v>
      </c>
      <c r="L5" s="6">
        <v>18608</v>
      </c>
      <c r="M5" s="6">
        <v>18662</v>
      </c>
      <c r="N5" s="6">
        <v>18834</v>
      </c>
      <c r="Q5" s="6">
        <v>1981</v>
      </c>
      <c r="R5" s="6">
        <v>18834</v>
      </c>
      <c r="S5" s="6">
        <f>R5*1</f>
        <v>18834</v>
      </c>
      <c r="T5" s="6">
        <v>100</v>
      </c>
      <c r="U5" s="6">
        <f>S5*($T$5/T5)</f>
        <v>18834</v>
      </c>
      <c r="V5" s="6">
        <f>U5-R5</f>
        <v>0</v>
      </c>
    </row>
    <row r="6" spans="3:22" x14ac:dyDescent="0.35">
      <c r="D6" s="6">
        <v>1982</v>
      </c>
      <c r="E6" s="6">
        <v>106</v>
      </c>
      <c r="F6" s="6">
        <v>4285</v>
      </c>
      <c r="G6" s="6">
        <v>5396</v>
      </c>
      <c r="H6" s="6">
        <v>10666</v>
      </c>
      <c r="I6" s="6">
        <v>13782</v>
      </c>
      <c r="J6" s="6">
        <v>15599</v>
      </c>
      <c r="K6" s="6">
        <v>15496</v>
      </c>
      <c r="L6" s="6">
        <v>16169</v>
      </c>
      <c r="M6" s="6">
        <v>16704</v>
      </c>
      <c r="N6" s="6"/>
      <c r="Q6" s="6">
        <v>1982</v>
      </c>
      <c r="R6" s="6">
        <v>16704</v>
      </c>
      <c r="S6" s="6">
        <f>R6*M39</f>
        <v>16857.953917050691</v>
      </c>
      <c r="T6" s="6">
        <v>109</v>
      </c>
      <c r="U6" s="6">
        <f>S6*(T6/$T$5)</f>
        <v>18375.169769585253</v>
      </c>
      <c r="V6" s="6">
        <f t="shared" ref="V6:V14" si="0">U6-R6</f>
        <v>1671.1697695852527</v>
      </c>
    </row>
    <row r="7" spans="3:22" x14ac:dyDescent="0.35">
      <c r="D7" s="6">
        <v>1983</v>
      </c>
      <c r="E7" s="6">
        <v>3410</v>
      </c>
      <c r="F7" s="6">
        <v>8992</v>
      </c>
      <c r="G7" s="6">
        <v>13873</v>
      </c>
      <c r="H7" s="6">
        <v>16141</v>
      </c>
      <c r="I7" s="6">
        <v>18735</v>
      </c>
      <c r="J7" s="6">
        <v>22214</v>
      </c>
      <c r="K7" s="6">
        <v>22863</v>
      </c>
      <c r="L7" s="6">
        <v>23466</v>
      </c>
      <c r="M7" s="6"/>
      <c r="N7" s="6"/>
      <c r="Q7" s="6">
        <v>1983</v>
      </c>
      <c r="R7" s="6">
        <v>23466</v>
      </c>
      <c r="S7" s="6">
        <f>R7*L39</f>
        <v>24083.37092381492</v>
      </c>
      <c r="T7" s="6">
        <v>116</v>
      </c>
      <c r="U7" s="6">
        <f t="shared" ref="U6:U14" si="1">S7*(T7/$T$5)</f>
        <v>27936.710271625307</v>
      </c>
      <c r="V7" s="6">
        <f t="shared" si="0"/>
        <v>4470.7102716253066</v>
      </c>
    </row>
    <row r="8" spans="3:22" x14ac:dyDescent="0.35">
      <c r="D8" s="6">
        <v>1984</v>
      </c>
      <c r="E8" s="6">
        <v>5655</v>
      </c>
      <c r="F8" s="6">
        <v>11555</v>
      </c>
      <c r="G8" s="6">
        <v>15766</v>
      </c>
      <c r="H8" s="6">
        <v>21266</v>
      </c>
      <c r="I8" s="6">
        <v>23425</v>
      </c>
      <c r="J8" s="6">
        <v>26083</v>
      </c>
      <c r="K8" s="6">
        <v>27067</v>
      </c>
      <c r="L8" s="6"/>
      <c r="M8" s="6"/>
      <c r="N8" s="6"/>
      <c r="Q8" s="6">
        <v>1984</v>
      </c>
      <c r="R8" s="6">
        <v>27067</v>
      </c>
      <c r="S8" s="6">
        <f>R8*K39</f>
        <v>28703.142163420907</v>
      </c>
      <c r="T8" s="6">
        <v>125</v>
      </c>
      <c r="U8" s="6">
        <f t="shared" si="1"/>
        <v>35878.927704276131</v>
      </c>
      <c r="V8" s="6">
        <f t="shared" si="0"/>
        <v>8811.9277042761314</v>
      </c>
    </row>
    <row r="9" spans="3:22" x14ac:dyDescent="0.35">
      <c r="D9" s="6">
        <v>1985</v>
      </c>
      <c r="E9" s="6">
        <v>1092</v>
      </c>
      <c r="F9" s="6">
        <v>9565</v>
      </c>
      <c r="G9" s="6">
        <v>15836</v>
      </c>
      <c r="H9" s="6">
        <v>22169</v>
      </c>
      <c r="I9" s="6">
        <v>25955</v>
      </c>
      <c r="J9" s="6">
        <v>26180</v>
      </c>
      <c r="K9" s="6"/>
      <c r="L9" s="6"/>
      <c r="M9" s="6"/>
      <c r="N9" s="6"/>
      <c r="Q9" s="6">
        <v>1985</v>
      </c>
      <c r="R9" s="6">
        <v>26180</v>
      </c>
      <c r="S9" s="6">
        <f>R9*J39</f>
        <v>28427.30303934366</v>
      </c>
      <c r="T9" s="6">
        <v>133</v>
      </c>
      <c r="U9" s="6">
        <f t="shared" si="1"/>
        <v>37808.31304232707</v>
      </c>
      <c r="V9" s="6">
        <f t="shared" si="0"/>
        <v>11628.31304232707</v>
      </c>
    </row>
    <row r="10" spans="3:22" x14ac:dyDescent="0.35">
      <c r="D10" s="6">
        <v>1986</v>
      </c>
      <c r="E10" s="6">
        <v>1513</v>
      </c>
      <c r="F10" s="6">
        <v>6445</v>
      </c>
      <c r="G10" s="6">
        <v>11702</v>
      </c>
      <c r="H10" s="6">
        <v>12935</v>
      </c>
      <c r="I10" s="6">
        <v>15852</v>
      </c>
      <c r="J10" s="6"/>
      <c r="K10" s="6"/>
      <c r="L10" s="6"/>
      <c r="M10" s="6"/>
      <c r="N10" s="6"/>
      <c r="Q10" s="6">
        <v>1986</v>
      </c>
      <c r="R10" s="6">
        <v>15852</v>
      </c>
      <c r="S10" s="6">
        <f>R10*I39</f>
        <v>18820.427940169549</v>
      </c>
      <c r="T10" s="6">
        <v>140</v>
      </c>
      <c r="U10" s="6">
        <f t="shared" si="1"/>
        <v>26348.599116237368</v>
      </c>
      <c r="V10" s="6">
        <f t="shared" si="0"/>
        <v>10496.599116237368</v>
      </c>
    </row>
    <row r="11" spans="3:22" x14ac:dyDescent="0.35">
      <c r="D11" s="6">
        <v>1987</v>
      </c>
      <c r="E11" s="6">
        <v>557</v>
      </c>
      <c r="F11" s="6">
        <v>4020</v>
      </c>
      <c r="G11" s="6">
        <v>10946</v>
      </c>
      <c r="H11" s="6">
        <v>12314</v>
      </c>
      <c r="I11" s="6"/>
      <c r="J11" s="6"/>
      <c r="K11" s="6"/>
      <c r="L11" s="6"/>
      <c r="M11" s="6"/>
      <c r="N11" s="6"/>
      <c r="Q11" s="6">
        <v>1987</v>
      </c>
      <c r="R11" s="6">
        <v>12314</v>
      </c>
      <c r="S11" s="6">
        <f>R11*H39</f>
        <v>16918.320154966263</v>
      </c>
      <c r="T11" s="6">
        <v>150</v>
      </c>
      <c r="U11" s="6">
        <f t="shared" si="1"/>
        <v>25377.480232449394</v>
      </c>
      <c r="V11" s="6">
        <f t="shared" si="0"/>
        <v>13063.480232449394</v>
      </c>
    </row>
    <row r="12" spans="3:22" x14ac:dyDescent="0.35">
      <c r="D12" s="6">
        <v>1988</v>
      </c>
      <c r="E12" s="6">
        <v>1351</v>
      </c>
      <c r="F12" s="6">
        <v>6947</v>
      </c>
      <c r="G12" s="6">
        <v>13112</v>
      </c>
      <c r="H12" s="6"/>
      <c r="I12" s="6"/>
      <c r="J12" s="6"/>
      <c r="K12" s="6"/>
      <c r="L12" s="6"/>
      <c r="M12" s="6"/>
      <c r="N12" s="6"/>
      <c r="Q12" s="6">
        <v>1988</v>
      </c>
      <c r="R12" s="6">
        <v>13112</v>
      </c>
      <c r="S12" s="6">
        <f>R12*G39</f>
        <v>22196.784044679815</v>
      </c>
      <c r="T12" s="6">
        <v>161</v>
      </c>
      <c r="U12" s="6">
        <f t="shared" si="1"/>
        <v>35736.822311934506</v>
      </c>
      <c r="V12" s="6">
        <f t="shared" si="0"/>
        <v>22624.822311934506</v>
      </c>
    </row>
    <row r="13" spans="3:22" x14ac:dyDescent="0.35">
      <c r="D13" s="6">
        <v>1989</v>
      </c>
      <c r="E13" s="6">
        <v>3133</v>
      </c>
      <c r="F13" s="6">
        <v>5395</v>
      </c>
      <c r="G13" s="6"/>
      <c r="H13" s="6"/>
      <c r="I13" s="6"/>
      <c r="J13" s="6"/>
      <c r="K13" s="6"/>
      <c r="L13" s="6"/>
      <c r="M13" s="6"/>
      <c r="N13" s="6"/>
      <c r="Q13" s="6">
        <v>1989</v>
      </c>
      <c r="R13" s="6">
        <v>5395</v>
      </c>
      <c r="S13" s="6">
        <f>R13*F39</f>
        <v>18756.91528116152</v>
      </c>
      <c r="T13" s="6">
        <v>172</v>
      </c>
      <c r="U13" s="6">
        <f t="shared" si="1"/>
        <v>32261.894283597816</v>
      </c>
      <c r="V13" s="6">
        <f t="shared" si="0"/>
        <v>26866.894283597816</v>
      </c>
    </row>
    <row r="14" spans="3:22" x14ac:dyDescent="0.35">
      <c r="D14" s="6">
        <v>1990</v>
      </c>
      <c r="E14" s="6">
        <v>2063</v>
      </c>
      <c r="F14" s="6"/>
      <c r="G14" s="6"/>
      <c r="H14" s="6"/>
      <c r="I14" s="6"/>
      <c r="J14" s="6"/>
      <c r="K14" s="6"/>
      <c r="L14" s="6"/>
      <c r="M14" s="6"/>
      <c r="N14" s="6"/>
      <c r="Q14" s="6">
        <v>1990</v>
      </c>
      <c r="R14" s="6">
        <v>2063</v>
      </c>
      <c r="S14" s="6">
        <f>E14*E39</f>
        <v>23280.316841162614</v>
      </c>
      <c r="T14" s="6">
        <v>182</v>
      </c>
      <c r="U14" s="6">
        <f t="shared" si="1"/>
        <v>42370.176650915957</v>
      </c>
      <c r="V14" s="6">
        <f t="shared" si="0"/>
        <v>40307.176650915957</v>
      </c>
    </row>
    <row r="15" spans="3:22" x14ac:dyDescent="0.35">
      <c r="U15" s="3" t="s">
        <v>21</v>
      </c>
      <c r="V15" s="3">
        <f>SUM(V5:V14)</f>
        <v>139941.09338294881</v>
      </c>
    </row>
    <row r="18" spans="4:13" x14ac:dyDescent="0.35">
      <c r="D18" s="6" t="s">
        <v>1</v>
      </c>
      <c r="E18" s="6"/>
      <c r="F18" s="6"/>
      <c r="G18" s="6"/>
      <c r="H18" s="6"/>
      <c r="I18" s="6"/>
      <c r="J18" s="6"/>
      <c r="K18" s="6"/>
      <c r="L18" s="6"/>
      <c r="M18" s="6"/>
    </row>
    <row r="19" spans="4:13" x14ac:dyDescent="0.35"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4:13" x14ac:dyDescent="0.35">
      <c r="D20" s="6" t="s">
        <v>11</v>
      </c>
      <c r="E20" s="7" t="s">
        <v>2</v>
      </c>
      <c r="F20" s="7" t="s">
        <v>3</v>
      </c>
      <c r="G20" s="6" t="s">
        <v>4</v>
      </c>
      <c r="H20" s="6" t="s">
        <v>5</v>
      </c>
      <c r="I20" s="6" t="s">
        <v>6</v>
      </c>
      <c r="J20" s="6" t="s">
        <v>7</v>
      </c>
      <c r="K20" s="6" t="s">
        <v>8</v>
      </c>
      <c r="L20" s="7" t="s">
        <v>9</v>
      </c>
      <c r="M20" s="6" t="s">
        <v>10</v>
      </c>
    </row>
    <row r="21" spans="4:13" x14ac:dyDescent="0.35">
      <c r="D21" s="6">
        <v>1981</v>
      </c>
      <c r="E21" s="6">
        <f>IFERROR(F5/E5,"")</f>
        <v>1.6498403830806065</v>
      </c>
      <c r="F21" s="6">
        <f t="shared" ref="F21:M21" si="2">IFERROR(G5/F5,"")</f>
        <v>1.3190228564518081</v>
      </c>
      <c r="G21" s="6">
        <f t="shared" si="2"/>
        <v>1.0823324470523517</v>
      </c>
      <c r="H21" s="6">
        <f t="shared" si="2"/>
        <v>1.1468869123252858</v>
      </c>
      <c r="I21" s="6">
        <f t="shared" si="2"/>
        <v>1.1951399660240787</v>
      </c>
      <c r="J21" s="6">
        <f t="shared" si="2"/>
        <v>1.1129720042024598</v>
      </c>
      <c r="K21" s="6">
        <f t="shared" si="2"/>
        <v>1.0332611472041757</v>
      </c>
      <c r="L21" s="6">
        <f t="shared" si="2"/>
        <v>1.002901977644024</v>
      </c>
      <c r="M21" s="6">
        <f t="shared" si="2"/>
        <v>1.0092165898617511</v>
      </c>
    </row>
    <row r="22" spans="4:13" x14ac:dyDescent="0.35">
      <c r="D22" s="6">
        <v>1982</v>
      </c>
      <c r="E22" s="6">
        <f t="shared" ref="E22:L22" si="3">IFERROR(F6/E6,"")</f>
        <v>40.424528301886795</v>
      </c>
      <c r="F22" s="6">
        <f t="shared" si="3"/>
        <v>1.2592765460910151</v>
      </c>
      <c r="G22" s="6">
        <f t="shared" si="3"/>
        <v>1.9766493699036323</v>
      </c>
      <c r="H22" s="6">
        <f t="shared" si="3"/>
        <v>1.2921432589536845</v>
      </c>
      <c r="I22" s="6">
        <f t="shared" si="3"/>
        <v>1.1318386300972283</v>
      </c>
      <c r="J22" s="6">
        <f t="shared" si="3"/>
        <v>0.9933970126290147</v>
      </c>
      <c r="K22" s="6">
        <f t="shared" si="3"/>
        <v>1.0434305627258647</v>
      </c>
      <c r="L22" s="6">
        <f t="shared" si="3"/>
        <v>1.0330880079163831</v>
      </c>
      <c r="M22" s="6"/>
    </row>
    <row r="23" spans="4:13" x14ac:dyDescent="0.35">
      <c r="D23" s="6">
        <v>1983</v>
      </c>
      <c r="E23" s="6">
        <f t="shared" ref="E23:M23" si="4">IFERROR(F7/E7,"")</f>
        <v>2.6369501466275658</v>
      </c>
      <c r="F23" s="6">
        <f t="shared" si="4"/>
        <v>1.5428158362989324</v>
      </c>
      <c r="G23" s="6">
        <f t="shared" si="4"/>
        <v>1.1634830245801198</v>
      </c>
      <c r="H23" s="6">
        <f t="shared" si="4"/>
        <v>1.1607087541044545</v>
      </c>
      <c r="I23" s="6">
        <f t="shared" si="4"/>
        <v>1.1856952228449427</v>
      </c>
      <c r="J23" s="6">
        <f t="shared" si="4"/>
        <v>1.0292158098496444</v>
      </c>
      <c r="K23" s="6">
        <f t="shared" si="4"/>
        <v>1.0263744915365438</v>
      </c>
      <c r="L23" s="6"/>
      <c r="M23" s="6" t="str">
        <f t="shared" si="4"/>
        <v/>
      </c>
    </row>
    <row r="24" spans="4:13" x14ac:dyDescent="0.35">
      <c r="D24" s="6">
        <v>1984</v>
      </c>
      <c r="E24" s="6">
        <f t="shared" ref="E24:M24" si="5">IFERROR(F8/E8,"")</f>
        <v>2.0433244916003535</v>
      </c>
      <c r="F24" s="6">
        <f t="shared" si="5"/>
        <v>1.3644309822587624</v>
      </c>
      <c r="G24" s="6">
        <f t="shared" si="5"/>
        <v>1.3488519599137385</v>
      </c>
      <c r="H24" s="6">
        <f t="shared" si="5"/>
        <v>1.1015235587322487</v>
      </c>
      <c r="I24" s="6">
        <f t="shared" si="5"/>
        <v>1.1134685165421558</v>
      </c>
      <c r="J24" s="6">
        <f t="shared" si="5"/>
        <v>1.0377257217344631</v>
      </c>
      <c r="K24" s="6"/>
      <c r="L24" s="6" t="str">
        <f t="shared" si="5"/>
        <v/>
      </c>
      <c r="M24" s="6" t="str">
        <f t="shared" si="5"/>
        <v/>
      </c>
    </row>
    <row r="25" spans="4:13" x14ac:dyDescent="0.35">
      <c r="D25" s="6">
        <v>1985</v>
      </c>
      <c r="E25" s="6">
        <f t="shared" ref="E25:M25" si="6">IFERROR(F9/E9,"")</f>
        <v>8.7591575091575091</v>
      </c>
      <c r="F25" s="6">
        <f t="shared" si="6"/>
        <v>1.6556194458964977</v>
      </c>
      <c r="G25" s="6">
        <f t="shared" si="6"/>
        <v>1.3999115938368274</v>
      </c>
      <c r="H25" s="6">
        <f t="shared" si="6"/>
        <v>1.1707790157427038</v>
      </c>
      <c r="I25" s="6">
        <f t="shared" si="6"/>
        <v>1.0086688499325756</v>
      </c>
      <c r="J25" s="6"/>
      <c r="K25" s="6" t="str">
        <f t="shared" si="6"/>
        <v/>
      </c>
      <c r="L25" s="6" t="str">
        <f t="shared" si="6"/>
        <v/>
      </c>
      <c r="M25" s="6" t="str">
        <f t="shared" si="6"/>
        <v/>
      </c>
    </row>
    <row r="26" spans="4:13" x14ac:dyDescent="0.35">
      <c r="D26" s="6">
        <v>1986</v>
      </c>
      <c r="E26" s="6">
        <f t="shared" ref="E26:M26" si="7">IFERROR(F10/E10,"")</f>
        <v>4.2597488433575679</v>
      </c>
      <c r="F26" s="6">
        <f t="shared" si="7"/>
        <v>1.8156710628394104</v>
      </c>
      <c r="G26" s="6">
        <f t="shared" si="7"/>
        <v>1.1053666039993164</v>
      </c>
      <c r="H26" s="6">
        <f t="shared" si="7"/>
        <v>1.2255121762659451</v>
      </c>
      <c r="I26" s="6"/>
      <c r="J26" s="6" t="str">
        <f t="shared" si="7"/>
        <v/>
      </c>
      <c r="K26" s="6" t="str">
        <f t="shared" si="7"/>
        <v/>
      </c>
      <c r="L26" s="6" t="str">
        <f t="shared" si="7"/>
        <v/>
      </c>
      <c r="M26" s="6" t="str">
        <f t="shared" si="7"/>
        <v/>
      </c>
    </row>
    <row r="27" spans="4:13" x14ac:dyDescent="0.35">
      <c r="D27" s="6">
        <v>1987</v>
      </c>
      <c r="E27" s="6">
        <f t="shared" ref="E27:M27" si="8">IFERROR(F11/E11,"")</f>
        <v>7.217235188509874</v>
      </c>
      <c r="F27" s="6">
        <f t="shared" si="8"/>
        <v>2.7228855721393033</v>
      </c>
      <c r="G27" s="6">
        <f t="shared" si="8"/>
        <v>1.1249771606066143</v>
      </c>
      <c r="H27" s="6"/>
      <c r="I27" s="6" t="str">
        <f t="shared" si="8"/>
        <v/>
      </c>
      <c r="J27" s="6" t="str">
        <f t="shared" si="8"/>
        <v/>
      </c>
      <c r="K27" s="6" t="str">
        <f t="shared" si="8"/>
        <v/>
      </c>
      <c r="L27" s="6" t="str">
        <f t="shared" si="8"/>
        <v/>
      </c>
      <c r="M27" s="6" t="str">
        <f t="shared" si="8"/>
        <v/>
      </c>
    </row>
    <row r="28" spans="4:13" x14ac:dyDescent="0.35">
      <c r="D28" s="6">
        <v>1988</v>
      </c>
      <c r="E28" s="6">
        <f t="shared" ref="E28:M28" si="9">IFERROR(F12/E12,"")</f>
        <v>5.1421169504071056</v>
      </c>
      <c r="F28" s="6">
        <f t="shared" si="9"/>
        <v>1.8874334244997841</v>
      </c>
      <c r="G28" s="6"/>
      <c r="H28" s="6" t="str">
        <f t="shared" si="9"/>
        <v/>
      </c>
      <c r="I28" s="6" t="str">
        <f t="shared" si="9"/>
        <v/>
      </c>
      <c r="J28" s="6" t="str">
        <f t="shared" si="9"/>
        <v/>
      </c>
      <c r="K28" s="6" t="str">
        <f t="shared" si="9"/>
        <v/>
      </c>
      <c r="L28" s="6" t="str">
        <f t="shared" si="9"/>
        <v/>
      </c>
      <c r="M28" s="6" t="str">
        <f t="shared" si="9"/>
        <v/>
      </c>
    </row>
    <row r="29" spans="4:13" x14ac:dyDescent="0.35">
      <c r="D29" s="6">
        <v>1989</v>
      </c>
      <c r="E29" s="6">
        <f>IFERROR(F13/E13,"")</f>
        <v>1.7219917012448134</v>
      </c>
      <c r="F29" s="6"/>
      <c r="G29" s="6" t="str">
        <f t="shared" ref="G29:M29" si="10">IFERROR(H13/G13,"")</f>
        <v/>
      </c>
      <c r="H29" s="6" t="str">
        <f t="shared" si="10"/>
        <v/>
      </c>
      <c r="I29" s="6" t="str">
        <f t="shared" si="10"/>
        <v/>
      </c>
      <c r="J29" s="6" t="str">
        <f t="shared" si="10"/>
        <v/>
      </c>
      <c r="K29" s="6" t="str">
        <f t="shared" si="10"/>
        <v/>
      </c>
      <c r="L29" s="6" t="str">
        <f t="shared" si="10"/>
        <v/>
      </c>
      <c r="M29" s="6" t="str">
        <f t="shared" si="10"/>
        <v/>
      </c>
    </row>
    <row r="30" spans="4:13" x14ac:dyDescent="0.35">
      <c r="D30" s="6">
        <v>1990</v>
      </c>
      <c r="E30" s="6"/>
      <c r="F30" s="6"/>
      <c r="G30" s="6"/>
      <c r="H30" s="6"/>
      <c r="I30" s="6"/>
      <c r="J30" s="6"/>
      <c r="K30" s="6"/>
      <c r="L30" s="6"/>
      <c r="M30" s="6"/>
    </row>
    <row r="33" spans="4:13" x14ac:dyDescent="0.35">
      <c r="D33" s="6"/>
      <c r="E33" s="7" t="s">
        <v>2</v>
      </c>
      <c r="F33" s="7" t="s">
        <v>3</v>
      </c>
      <c r="G33" s="6" t="s">
        <v>4</v>
      </c>
      <c r="H33" s="6" t="s">
        <v>5</v>
      </c>
      <c r="I33" s="6" t="s">
        <v>6</v>
      </c>
      <c r="J33" s="6" t="s">
        <v>7</v>
      </c>
      <c r="K33" s="6" t="s">
        <v>8</v>
      </c>
      <c r="L33" s="7" t="s">
        <v>9</v>
      </c>
      <c r="M33" s="6" t="s">
        <v>10</v>
      </c>
    </row>
    <row r="34" spans="4:13" x14ac:dyDescent="0.35">
      <c r="D34" s="6" t="s">
        <v>13</v>
      </c>
      <c r="E34" s="8">
        <f>AVERAGE(E27:E29)</f>
        <v>4.6937812800539307</v>
      </c>
      <c r="F34" s="8">
        <f>AVERAGE(F26:F28)</f>
        <v>2.1419966864928326</v>
      </c>
      <c r="G34" s="8">
        <f>AVERAGE(G25:G27)</f>
        <v>1.2100851194809195</v>
      </c>
      <c r="H34" s="8">
        <f>AVERAGE(H24:H26)</f>
        <v>1.165938250246966</v>
      </c>
      <c r="I34" s="8">
        <f>AVERAGE(I23:I25)</f>
        <v>1.1026108631065579</v>
      </c>
      <c r="J34" s="8">
        <f>AVERAGE(J22:J24)</f>
        <v>1.0201128480710409</v>
      </c>
      <c r="K34" s="8">
        <f>AVERAGE(K21:K23)</f>
        <v>1.0343554004888613</v>
      </c>
      <c r="L34" s="8">
        <f>AVERAGE(L21:L23)</f>
        <v>1.0179949927802037</v>
      </c>
      <c r="M34" s="8">
        <f>AVERAGE(M21:M23)</f>
        <v>1.0092165898617511</v>
      </c>
    </row>
    <row r="35" spans="4:13" x14ac:dyDescent="0.35">
      <c r="D35" s="6" t="s">
        <v>14</v>
      </c>
      <c r="E35" s="8">
        <f>SUM($F$11:$F$13)/SUM($E$11:$E$13)</f>
        <v>3.2457845665542551</v>
      </c>
      <c r="F35" s="8">
        <f>SUM($G$10:$G$12)/SUM($F$10:$F$12)</f>
        <v>2.0537560303239144</v>
      </c>
      <c r="G35" s="8">
        <f t="shared" ref="G35:G36" si="11">SUM($H$9:$H$11)/SUM($G$9:$G$11)</f>
        <v>1.2321484253196133</v>
      </c>
      <c r="H35" s="8">
        <f t="shared" ref="H35:H36" si="12">SUM($I$8:$I$10)/SUM($H$8:$H$10)</f>
        <v>1.1572112825971261</v>
      </c>
      <c r="I35" s="8">
        <f>SUM($J$7:$J$9)/SUM($I$7:$I$9)</f>
        <v>1.0934008661821919</v>
      </c>
      <c r="J35" s="8">
        <f>SUM($K$6:$K$8)/SUM($J$6:$J$8)</f>
        <v>1.0239451608864405</v>
      </c>
      <c r="K35" s="8">
        <f>SUM($L$5:$L$7)/SUM($K$5:$K$7)</f>
        <v>1.0332635537893839</v>
      </c>
      <c r="L35" s="8">
        <f>SUM(M5:M6)/SUM(L5:L6)</f>
        <v>1.0169364810075625</v>
      </c>
      <c r="M35" s="8">
        <f>SUM(N5)/SUM(M5)</f>
        <v>1.0092165898617511</v>
      </c>
    </row>
    <row r="36" spans="4:13" x14ac:dyDescent="0.35">
      <c r="D36" s="6" t="s">
        <v>22</v>
      </c>
      <c r="E36" s="8">
        <f>SUM($F$11:$F$13)/SUM($E$11:$E$13)</f>
        <v>3.2457845665542551</v>
      </c>
      <c r="F36" s="8">
        <f>SUM($G$10:$G$12)/SUM($F$10:$F$12)</f>
        <v>2.0537560303239144</v>
      </c>
      <c r="G36" s="8">
        <f t="shared" si="11"/>
        <v>1.2321484253196133</v>
      </c>
      <c r="H36" s="8">
        <f t="shared" si="12"/>
        <v>1.1572112825971261</v>
      </c>
      <c r="I36" s="8">
        <f>SUM($J$7:$J$9)/SUM($I$7:$I$9)</f>
        <v>1.0934008661821919</v>
      </c>
      <c r="J36" s="8">
        <f>SUM($K$6:$K$8)/SUM($J$6:$J$8)</f>
        <v>1.0239451608864405</v>
      </c>
      <c r="K36" s="8">
        <f>SUM($L$5:$L$7)/SUM($K$5:$K$7)</f>
        <v>1.0332635537893839</v>
      </c>
      <c r="L36" s="8">
        <v>1.0169364810075625</v>
      </c>
      <c r="M36" s="8">
        <v>1.0092165898617511</v>
      </c>
    </row>
    <row r="38" spans="4:13" x14ac:dyDescent="0.35">
      <c r="D38" s="6" t="s">
        <v>11</v>
      </c>
      <c r="E38" s="6">
        <v>1990</v>
      </c>
      <c r="F38" s="6">
        <v>1989</v>
      </c>
      <c r="G38" s="6">
        <v>1988</v>
      </c>
      <c r="H38" s="6">
        <v>1987</v>
      </c>
      <c r="I38" s="6">
        <v>1986</v>
      </c>
      <c r="J38" s="6">
        <v>1985</v>
      </c>
      <c r="K38" s="6">
        <v>1984</v>
      </c>
      <c r="L38" s="6">
        <v>1983</v>
      </c>
      <c r="M38" s="6">
        <v>1982</v>
      </c>
    </row>
    <row r="39" spans="4:13" x14ac:dyDescent="0.35">
      <c r="D39" s="6" t="s">
        <v>15</v>
      </c>
      <c r="E39" s="6">
        <f>PRODUCT(E36:M36)</f>
        <v>11.284690664644989</v>
      </c>
      <c r="F39" s="6">
        <f t="shared" ref="F39:M39" si="13">PRODUCT(F36:N36)</f>
        <v>3.4767220168974089</v>
      </c>
      <c r="G39" s="6">
        <f t="shared" si="13"/>
        <v>1.6928602840664897</v>
      </c>
      <c r="H39" s="6">
        <f t="shared" si="13"/>
        <v>1.3739093840316927</v>
      </c>
      <c r="I39" s="6">
        <f t="shared" si="13"/>
        <v>1.1872588910023687</v>
      </c>
      <c r="J39" s="6">
        <f t="shared" si="13"/>
        <v>1.0858404522285585</v>
      </c>
      <c r="K39" s="6">
        <f t="shared" si="13"/>
        <v>1.0604478576650869</v>
      </c>
      <c r="L39" s="6">
        <f t="shared" si="13"/>
        <v>1.0263091674684617</v>
      </c>
      <c r="M39" s="6">
        <f t="shared" si="13"/>
        <v>1.0092165898617511</v>
      </c>
    </row>
  </sheetData>
  <mergeCells count="1">
    <mergeCell ref="E3:N3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23"/>
  <sheetViews>
    <sheetView workbookViewId="0">
      <selection activeCell="J12" sqref="J12"/>
    </sheetView>
  </sheetViews>
  <sheetFormatPr defaultRowHeight="14.5" x14ac:dyDescent="0.35"/>
  <cols>
    <col min="10" max="10" width="12.36328125" bestFit="1" customWidth="1"/>
    <col min="11" max="11" width="29.36328125" bestFit="1" customWidth="1"/>
    <col min="12" max="12" width="5.81640625" customWidth="1"/>
    <col min="13" max="17" width="11.81640625" bestFit="1" customWidth="1"/>
    <col min="18" max="18" width="10.81640625" bestFit="1" customWidth="1"/>
    <col min="19" max="20" width="11.81640625" bestFit="1" customWidth="1"/>
    <col min="21" max="21" width="10.7265625" bestFit="1" customWidth="1"/>
  </cols>
  <sheetData>
    <row r="4" spans="3:11" x14ac:dyDescent="0.35">
      <c r="C4" t="s">
        <v>11</v>
      </c>
      <c r="D4" t="s">
        <v>19</v>
      </c>
    </row>
    <row r="5" spans="3:11" x14ac:dyDescent="0.35">
      <c r="C5">
        <v>1981</v>
      </c>
      <c r="D5">
        <v>18834</v>
      </c>
    </row>
    <row r="6" spans="3:11" x14ac:dyDescent="0.35">
      <c r="C6">
        <v>1982</v>
      </c>
      <c r="D6">
        <v>18375.169769585253</v>
      </c>
    </row>
    <row r="7" spans="3:11" x14ac:dyDescent="0.35">
      <c r="C7">
        <v>1983</v>
      </c>
      <c r="D7">
        <v>27936.710271625307</v>
      </c>
    </row>
    <row r="8" spans="3:11" x14ac:dyDescent="0.35">
      <c r="C8">
        <v>1984</v>
      </c>
      <c r="D8">
        <v>35878.927704276131</v>
      </c>
    </row>
    <row r="9" spans="3:11" x14ac:dyDescent="0.35">
      <c r="C9">
        <v>1985</v>
      </c>
      <c r="D9">
        <v>37808.31304232707</v>
      </c>
    </row>
    <row r="10" spans="3:11" x14ac:dyDescent="0.35">
      <c r="C10">
        <v>1986</v>
      </c>
      <c r="D10">
        <v>26348.599116237368</v>
      </c>
    </row>
    <row r="11" spans="3:11" x14ac:dyDescent="0.35">
      <c r="C11">
        <v>1987</v>
      </c>
      <c r="D11">
        <v>25377.480232449394</v>
      </c>
    </row>
    <row r="12" spans="3:11" x14ac:dyDescent="0.35">
      <c r="C12">
        <v>1988</v>
      </c>
      <c r="D12">
        <v>35736.822311934506</v>
      </c>
      <c r="J12" s="9" t="s">
        <v>23</v>
      </c>
      <c r="K12" t="s">
        <v>25</v>
      </c>
    </row>
    <row r="13" spans="3:11" x14ac:dyDescent="0.35">
      <c r="C13">
        <v>1989</v>
      </c>
      <c r="D13">
        <v>32261.894283597816</v>
      </c>
      <c r="J13" s="10">
        <v>1981</v>
      </c>
      <c r="K13" s="2">
        <v>18834</v>
      </c>
    </row>
    <row r="14" spans="3:11" x14ac:dyDescent="0.35">
      <c r="C14">
        <v>1990</v>
      </c>
      <c r="D14">
        <v>42370.176650915957</v>
      </c>
      <c r="J14" s="10">
        <v>1982</v>
      </c>
      <c r="K14" s="2">
        <v>18375.169769585253</v>
      </c>
    </row>
    <row r="15" spans="3:11" x14ac:dyDescent="0.35">
      <c r="J15" s="10">
        <v>1983</v>
      </c>
      <c r="K15" s="2">
        <v>27936.710271625307</v>
      </c>
    </row>
    <row r="16" spans="3:11" x14ac:dyDescent="0.35">
      <c r="J16" s="10">
        <v>1984</v>
      </c>
      <c r="K16" s="2">
        <v>35878.927704276131</v>
      </c>
    </row>
    <row r="17" spans="10:11" x14ac:dyDescent="0.35">
      <c r="J17" s="10">
        <v>1985</v>
      </c>
      <c r="K17" s="2">
        <v>37808.31304232707</v>
      </c>
    </row>
    <row r="18" spans="10:11" x14ac:dyDescent="0.35">
      <c r="J18" s="10">
        <v>1986</v>
      </c>
      <c r="K18" s="2">
        <v>26348.599116237368</v>
      </c>
    </row>
    <row r="19" spans="10:11" x14ac:dyDescent="0.35">
      <c r="J19" s="10">
        <v>1987</v>
      </c>
      <c r="K19" s="2">
        <v>25377.480232449394</v>
      </c>
    </row>
    <row r="20" spans="10:11" x14ac:dyDescent="0.35">
      <c r="J20" s="10">
        <v>1988</v>
      </c>
      <c r="K20" s="2">
        <v>35736.822311934506</v>
      </c>
    </row>
    <row r="21" spans="10:11" x14ac:dyDescent="0.35">
      <c r="J21" s="10">
        <v>1989</v>
      </c>
      <c r="K21" s="2">
        <v>32261.894283597816</v>
      </c>
    </row>
    <row r="22" spans="10:11" x14ac:dyDescent="0.35">
      <c r="J22" s="10">
        <v>1990</v>
      </c>
      <c r="K22" s="2">
        <v>42370.176650915957</v>
      </c>
    </row>
    <row r="23" spans="10:11" x14ac:dyDescent="0.35">
      <c r="J23" s="10" t="s">
        <v>24</v>
      </c>
      <c r="K23" s="2">
        <v>300928.09338294878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2026-06-01T13:00:43Z</dcterms:created>
  <dcterms:modified xsi:type="dcterms:W3CDTF">2026-06-01T15:05:38Z</dcterms:modified>
</cp:coreProperties>
</file>